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 Costs" sheetId="1" state="visible" r:id="rId1"/>
    <sheet xmlns:r="http://schemas.openxmlformats.org/officeDocument/2006/relationships" name="Monthly Operating" sheetId="2" state="visible" r:id="rId2"/>
    <sheet xmlns:r="http://schemas.openxmlformats.org/officeDocument/2006/relationships" name="Revenue Projections" sheetId="3" state="visible" r:id="rId3"/>
    <sheet xmlns:r="http://schemas.openxmlformats.org/officeDocument/2006/relationships" name="Equipment ROI" sheetId="4" state="visible" r:id="rId4"/>
    <sheet xmlns:r="http://schemas.openxmlformats.org/officeDocument/2006/relationships" name="12-Month Cash 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000000"/>
    </font>
    <font>
      <color rgb="000000FF"/>
    </font>
    <font>
      <b val="1"/>
      <sz val="12"/>
    </font>
    <font>
      <i val="1"/>
      <sz val="9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3" fontId="2" fillId="3" borderId="0" pivotButton="0" quotePrefix="0" xfId="0"/>
    <xf numFmtId="0" fontId="3" fillId="2" borderId="0" pivotButton="0" quotePrefix="0" xfId="0"/>
    <xf numFmtId="3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3" fontId="5" fillId="3" borderId="0" pivotButton="0" quotePrefix="0" xfId="0"/>
    <xf numFmtId="3" fontId="2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KENTOM.CO.KE - STARTUP COST ANALYSIS</t>
        </is>
      </c>
    </row>
    <row r="3">
      <c r="A3" s="2" t="inlineStr">
        <is>
          <t>THREE STARTUP SCENARIOS</t>
        </is>
      </c>
    </row>
    <row r="4">
      <c r="A4" s="3" t="inlineStr">
        <is>
          <t>Item</t>
        </is>
      </c>
      <c r="B4" s="3" t="inlineStr">
        <is>
          <t>Minimal (KES)</t>
        </is>
      </c>
      <c r="C4" s="3" t="inlineStr">
        <is>
          <t>Moderate (KES)</t>
        </is>
      </c>
      <c r="D4" s="3" t="inlineStr">
        <is>
          <t>Full Scale (KES)</t>
        </is>
      </c>
    </row>
    <row r="5">
      <c r="A5" s="2" t="inlineStr">
        <is>
          <t>LEGAL &amp; REGISTRATION</t>
        </is>
      </c>
    </row>
    <row r="6">
      <c r="A6" s="4" t="inlineStr">
        <is>
          <t>Business registration &amp; legal</t>
        </is>
      </c>
      <c r="B6" s="5" t="n">
        <v>10000</v>
      </c>
      <c r="C6" s="5" t="n">
        <v>15000</v>
      </c>
      <c r="D6" s="5" t="n">
        <v>20000</v>
      </c>
    </row>
    <row r="7">
      <c r="A7" s="4" t="inlineStr">
        <is>
          <t>Logo &amp; branding</t>
        </is>
      </c>
      <c r="B7" s="5" t="n">
        <v>5000</v>
      </c>
      <c r="C7" s="5" t="n">
        <v>25000</v>
      </c>
      <c r="D7" s="5" t="n">
        <v>50000</v>
      </c>
    </row>
    <row r="8">
      <c r="A8" s="4" t="inlineStr">
        <is>
          <t>Website setup</t>
        </is>
      </c>
      <c r="B8" s="5" t="n">
        <v>15000</v>
      </c>
      <c r="C8" s="5" t="n">
        <v>50000</v>
      </c>
      <c r="D8" s="5" t="n">
        <v>80000</v>
      </c>
    </row>
    <row r="9">
      <c r="A9" s="2" t="inlineStr"/>
    </row>
    <row r="10">
      <c r="A10" s="2" t="inlineStr">
        <is>
          <t>WORKSPACE</t>
        </is>
      </c>
    </row>
    <row r="11">
      <c r="A11" s="4" t="inlineStr">
        <is>
          <t>Workshop deposit + rent</t>
        </is>
      </c>
      <c r="C11" s="5" t="n">
        <v>90000</v>
      </c>
      <c r="D11" s="5" t="n">
        <v>180000</v>
      </c>
    </row>
    <row r="12">
      <c r="A12" s="4" t="inlineStr">
        <is>
          <t>Furniture &amp; storage</t>
        </is>
      </c>
      <c r="C12" s="5" t="n">
        <v>50000</v>
      </c>
      <c r="D12" s="5" t="n">
        <v>90000</v>
      </c>
    </row>
    <row r="13">
      <c r="A13" s="4" t="inlineStr">
        <is>
          <t>Signage &amp; displays</t>
        </is>
      </c>
      <c r="C13" s="5" t="n">
        <v>15000</v>
      </c>
      <c r="D13" s="5" t="n">
        <v>35000</v>
      </c>
    </row>
    <row r="14">
      <c r="A14" s="2" t="inlineStr"/>
    </row>
    <row r="15">
      <c r="A15" s="2" t="inlineStr">
        <is>
          <t>EQUIPMENT - PRINTING</t>
        </is>
      </c>
    </row>
    <row r="16">
      <c r="A16" s="4" t="inlineStr">
        <is>
          <t>Heat press machine</t>
        </is>
      </c>
      <c r="B16" s="5" t="n">
        <v>40000</v>
      </c>
      <c r="C16" s="5" t="n">
        <v>50000</v>
      </c>
      <c r="D16" s="5" t="n">
        <v>65000</v>
      </c>
    </row>
    <row r="17">
      <c r="A17" s="4" t="inlineStr">
        <is>
          <t>Vinyl cutter</t>
        </is>
      </c>
      <c r="C17" s="5" t="n">
        <v>60000</v>
      </c>
      <c r="D17" s="5" t="n">
        <v>80000</v>
      </c>
    </row>
    <row r="18">
      <c r="A18" s="4" t="inlineStr">
        <is>
          <t>DTG/Sublimation printer</t>
        </is>
      </c>
      <c r="D18" s="5" t="n">
        <v>200000</v>
      </c>
    </row>
    <row r="19">
      <c r="A19" s="2" t="inlineStr"/>
    </row>
    <row r="20">
      <c r="A20" s="2" t="inlineStr">
        <is>
          <t>EQUIPMENT - 3D PRINTING</t>
        </is>
      </c>
    </row>
    <row r="21">
      <c r="A21" s="4" t="inlineStr">
        <is>
          <t>Entry 3D printer</t>
        </is>
      </c>
      <c r="B21" s="5" t="n">
        <v>45000</v>
      </c>
      <c r="C21" s="5" t="n">
        <v>45000</v>
      </c>
      <c r="D21" s="5" t="n">
        <v>70000</v>
      </c>
    </row>
    <row r="22">
      <c r="A22" s="4" t="inlineStr">
        <is>
          <t>Advanced 3D printer</t>
        </is>
      </c>
      <c r="D22" s="5" t="n">
        <v>120000</v>
      </c>
    </row>
    <row r="23">
      <c r="A23" s="4" t="inlineStr">
        <is>
          <t>Resin printer</t>
        </is>
      </c>
      <c r="D23" s="5" t="n">
        <v>60000</v>
      </c>
    </row>
    <row r="24">
      <c r="A24" s="4" t="inlineStr">
        <is>
          <t>Materials &amp; filaments</t>
        </is>
      </c>
      <c r="B24" s="5" t="n">
        <v>5000</v>
      </c>
      <c r="C24" s="5" t="n">
        <v>15000</v>
      </c>
      <c r="D24" s="5" t="n">
        <v>30000</v>
      </c>
    </row>
    <row r="25">
      <c r="A25" s="2" t="inlineStr"/>
    </row>
    <row r="26">
      <c r="A26" s="2" t="inlineStr">
        <is>
          <t>EQUIPMENT - VIDEO</t>
        </is>
      </c>
    </row>
    <row r="27">
      <c r="A27" s="4" t="inlineStr">
        <is>
          <t>Smartphone gimbal &amp; accessories</t>
        </is>
      </c>
      <c r="B27" s="5" t="n">
        <v>15000</v>
      </c>
    </row>
    <row r="28">
      <c r="A28" s="4" t="inlineStr">
        <is>
          <t>Semi-pro camera setup</t>
        </is>
      </c>
      <c r="C28" s="5" t="n">
        <v>100000</v>
      </c>
    </row>
    <row r="29">
      <c r="A29" s="4" t="inlineStr">
        <is>
          <t>Professional camera &amp; lenses</t>
        </is>
      </c>
      <c r="D29" s="5" t="n">
        <v>250000</v>
      </c>
    </row>
    <row r="30">
      <c r="A30" s="4" t="inlineStr">
        <is>
          <t>Lighting equipment</t>
        </is>
      </c>
      <c r="B30" s="5" t="n">
        <v>5000</v>
      </c>
      <c r="C30" s="5" t="n">
        <v>30000</v>
      </c>
      <c r="D30" s="5" t="n">
        <v>80000</v>
      </c>
    </row>
    <row r="31">
      <c r="A31" s="4" t="inlineStr">
        <is>
          <t>Audio equipment</t>
        </is>
      </c>
      <c r="B31" s="5" t="n">
        <v>5000</v>
      </c>
      <c r="C31" s="5" t="n">
        <v>20000</v>
      </c>
      <c r="D31" s="5" t="n">
        <v>50000</v>
      </c>
    </row>
    <row r="32">
      <c r="A32" s="4" t="inlineStr">
        <is>
          <t>Drone</t>
        </is>
      </c>
      <c r="D32" s="5" t="n">
        <v>100000</v>
      </c>
    </row>
    <row r="33">
      <c r="A33" s="2" t="inlineStr"/>
    </row>
    <row r="34">
      <c r="A34" s="2" t="inlineStr">
        <is>
          <t>EQUIPMENT - WOODWORKING</t>
        </is>
      </c>
    </row>
    <row r="35">
      <c r="A35" s="4" t="inlineStr">
        <is>
          <t>Basic hand tools</t>
        </is>
      </c>
      <c r="B35" s="5" t="n">
        <v>10000</v>
      </c>
      <c r="C35" s="5" t="n">
        <v>30000</v>
      </c>
    </row>
    <row r="36">
      <c r="A36" s="4" t="inlineStr">
        <is>
          <t>Power tools (saw, drill, sander)</t>
        </is>
      </c>
      <c r="C36" s="5" t="n">
        <v>40000</v>
      </c>
      <c r="D36" s="5" t="n">
        <v>120000</v>
      </c>
    </row>
    <row r="37">
      <c r="A37" s="4" t="inlineStr">
        <is>
          <t>Workshop equipment</t>
        </is>
      </c>
      <c r="D37" s="5" t="n">
        <v>80000</v>
      </c>
    </row>
    <row r="38">
      <c r="A38" s="2" t="inlineStr"/>
    </row>
    <row r="39">
      <c r="A39" s="2" t="inlineStr">
        <is>
          <t>OPERATING CAPITAL</t>
        </is>
      </c>
    </row>
    <row r="40">
      <c r="A40" s="4" t="inlineStr">
        <is>
          <t>Initial inventory &amp; materials</t>
        </is>
      </c>
      <c r="B40" s="5" t="n">
        <v>15000</v>
      </c>
      <c r="C40" s="5" t="n">
        <v>40000</v>
      </c>
      <c r="D40" s="5" t="n">
        <v>80000</v>
      </c>
    </row>
    <row r="41">
      <c r="A41" s="4" t="inlineStr">
        <is>
          <t>Marketing budget (3-6 months)</t>
        </is>
      </c>
      <c r="B41" s="5" t="n">
        <v>15000</v>
      </c>
      <c r="C41" s="5" t="n">
        <v>40000</v>
      </c>
      <c r="D41" s="5" t="n">
        <v>100000</v>
      </c>
    </row>
    <row r="42">
      <c r="A42" s="4" t="inlineStr">
        <is>
          <t>Software licenses</t>
        </is>
      </c>
      <c r="B42" s="5" t="n">
        <v>5000</v>
      </c>
      <c r="C42" s="5" t="n">
        <v>20000</v>
      </c>
      <c r="D42" s="5" t="n">
        <v>30000</v>
      </c>
    </row>
    <row r="43">
      <c r="A43" s="4" t="inlineStr">
        <is>
          <t>Contingency fund</t>
        </is>
      </c>
      <c r="B43" s="5" t="n">
        <v>10000</v>
      </c>
      <c r="C43" s="5" t="n">
        <v>40000</v>
      </c>
      <c r="D43" s="5" t="n">
        <v>100000</v>
      </c>
    </row>
    <row r="44">
      <c r="A44" s="6" t="inlineStr">
        <is>
          <t>TOTAL STARTUP INVESTMENT</t>
        </is>
      </c>
      <c r="B44" s="7">
        <f>SUMIF(B5:B43,"&lt;&gt;0")</f>
        <v/>
      </c>
      <c r="C44" s="7">
        <f>SUMIF(C5:C43,"&lt;&gt;0")</f>
        <v/>
      </c>
      <c r="D44" s="7">
        <f>SUMIF(D5:D43,"&lt;&gt;0")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35" customWidth="1" min="4" max="4"/>
  </cols>
  <sheetData>
    <row r="1">
      <c r="A1" s="1" t="inlineStr">
        <is>
          <t>MONTHLY OPERATING COSTS</t>
        </is>
      </c>
    </row>
    <row r="3">
      <c r="A3" s="8" t="inlineStr">
        <is>
          <t>Category</t>
        </is>
      </c>
      <c r="B3" s="8" t="inlineStr">
        <is>
          <t>Low (KES)</t>
        </is>
      </c>
      <c r="C3" s="8" t="inlineStr">
        <is>
          <t>High (KES)</t>
        </is>
      </c>
      <c r="D3" s="8" t="inlineStr">
        <is>
          <t>Notes</t>
        </is>
      </c>
    </row>
    <row r="4">
      <c r="A4" t="inlineStr">
        <is>
          <t>Workshop rent</t>
        </is>
      </c>
      <c r="B4" s="5" t="n">
        <v>15000</v>
      </c>
      <c r="C4" s="5" t="n">
        <v>35000</v>
      </c>
      <c r="D4" t="inlineStr">
        <is>
          <t>Industrial area or suburb</t>
        </is>
      </c>
    </row>
    <row r="5">
      <c r="A5" t="inlineStr">
        <is>
          <t>Utilities (power, water)</t>
        </is>
      </c>
      <c r="B5" s="5" t="n">
        <v>5000</v>
      </c>
      <c r="C5" s="5" t="n">
        <v>10000</v>
      </c>
      <c r="D5" t="inlineStr">
        <is>
          <t>Production heavy</t>
        </is>
      </c>
    </row>
    <row r="6">
      <c r="A6" t="inlineStr">
        <is>
          <t>Internet &amp; communication</t>
        </is>
      </c>
      <c r="B6" s="5" t="n">
        <v>3000</v>
      </c>
      <c r="C6" s="5" t="n">
        <v>5000</v>
      </c>
      <c r="D6" t="inlineStr">
        <is>
          <t>High speed needed</t>
        </is>
      </c>
    </row>
    <row r="7">
      <c r="A7" t="inlineStr"/>
      <c r="D7" t="inlineStr"/>
    </row>
    <row r="8">
      <c r="A8" s="2" t="inlineStr">
        <is>
          <t>SALARIES &amp; WAGES</t>
        </is>
      </c>
      <c r="D8" t="inlineStr"/>
    </row>
    <row r="9">
      <c r="A9" t="inlineStr">
        <is>
          <t>Content creator/photographer</t>
        </is>
      </c>
      <c r="B9" s="5" t="n">
        <v>25000</v>
      </c>
      <c r="C9" s="5" t="n">
        <v>40000</v>
      </c>
      <c r="D9" t="inlineStr">
        <is>
          <t>Full-time</t>
        </is>
      </c>
    </row>
    <row r="10">
      <c r="A10" t="inlineStr">
        <is>
          <t>Graphic designer</t>
        </is>
      </c>
      <c r="B10" s="5" t="n">
        <v>30000</v>
      </c>
      <c r="C10" s="5" t="n">
        <v>50000</v>
      </c>
      <c r="D10" t="inlineStr">
        <is>
          <t>Full-time</t>
        </is>
      </c>
    </row>
    <row r="11">
      <c r="A11" t="inlineStr">
        <is>
          <t>Video editor</t>
        </is>
      </c>
      <c r="B11" s="5" t="n">
        <v>35000</v>
      </c>
      <c r="C11" s="5" t="n">
        <v>60000</v>
      </c>
      <c r="D11" t="inlineStr">
        <is>
          <t>Skilled role</t>
        </is>
      </c>
    </row>
    <row r="12">
      <c r="A12" t="inlineStr">
        <is>
          <t>Production assistant</t>
        </is>
      </c>
      <c r="B12" s="5" t="n">
        <v>20000</v>
      </c>
      <c r="C12" s="5" t="n">
        <v>30000</v>
      </c>
      <c r="D12" t="inlineStr">
        <is>
          <t>Entry level</t>
        </is>
      </c>
    </row>
    <row r="13">
      <c r="A13" t="inlineStr">
        <is>
          <t>Sales/customer service</t>
        </is>
      </c>
      <c r="B13" s="5" t="n">
        <v>25000</v>
      </c>
      <c r="C13" s="5" t="n">
        <v>35000</v>
      </c>
      <c r="D13" t="inlineStr">
        <is>
          <t>Plus commission</t>
        </is>
      </c>
    </row>
    <row r="14">
      <c r="A14" t="inlineStr"/>
      <c r="D14" t="inlineStr"/>
    </row>
    <row r="15">
      <c r="A15" s="2" t="inlineStr">
        <is>
          <t>MATERIALS &amp; SUPPLIES</t>
        </is>
      </c>
      <c r="D15" t="inlineStr"/>
    </row>
    <row r="16">
      <c r="A16" t="inlineStr">
        <is>
          <t>T-shirt blanks &amp; printing</t>
        </is>
      </c>
      <c r="B16" s="5" t="n">
        <v>15000</v>
      </c>
      <c r="C16" s="5" t="n">
        <v>40000</v>
      </c>
      <c r="D16" t="inlineStr">
        <is>
          <t>Variable by volume</t>
        </is>
      </c>
    </row>
    <row r="17">
      <c r="A17" t="inlineStr">
        <is>
          <t>3D printing materials</t>
        </is>
      </c>
      <c r="B17" s="5" t="n">
        <v>5000</v>
      </c>
      <c r="C17" s="5" t="n">
        <v>20000</v>
      </c>
      <c r="D17" t="inlineStr">
        <is>
          <t>Filaments &amp; resins</t>
        </is>
      </c>
    </row>
    <row r="18">
      <c r="A18" t="inlineStr">
        <is>
          <t>Wood &amp; furniture materials</t>
        </is>
      </c>
      <c r="B18" s="5" t="n">
        <v>10000</v>
      </c>
      <c r="C18" s="5" t="n">
        <v>30000</v>
      </c>
      <c r="D18" t="inlineStr">
        <is>
          <t>Per project basis</t>
        </is>
      </c>
    </row>
    <row r="19">
      <c r="A19" t="inlineStr">
        <is>
          <t>Packaging &amp; shipping</t>
        </is>
      </c>
      <c r="B19" s="5" t="n">
        <v>5000</v>
      </c>
      <c r="C19" s="5" t="n">
        <v>15000</v>
      </c>
      <c r="D19" t="inlineStr"/>
    </row>
    <row r="20">
      <c r="A20" t="inlineStr"/>
      <c r="D20" t="inlineStr"/>
    </row>
    <row r="21">
      <c r="A21" s="2" t="inlineStr">
        <is>
          <t>MARKETING &amp; TECHNOLOGY</t>
        </is>
      </c>
      <c r="D21" t="inlineStr"/>
    </row>
    <row r="22">
      <c r="A22" t="inlineStr">
        <is>
          <t>Software subscriptions</t>
        </is>
      </c>
      <c r="B22" s="5" t="n">
        <v>5000</v>
      </c>
      <c r="C22" s="5" t="n">
        <v>15000</v>
      </c>
      <c r="D22" t="inlineStr">
        <is>
          <t>Adobe, hosting, tools</t>
        </is>
      </c>
    </row>
    <row r="23">
      <c r="A23" t="inlineStr">
        <is>
          <t>Digital advertising</t>
        </is>
      </c>
      <c r="B23" s="5" t="n">
        <v>20000</v>
      </c>
      <c r="C23" s="5" t="n">
        <v>50000</v>
      </c>
      <c r="D23" t="inlineStr">
        <is>
          <t>Meta, Google ads</t>
        </is>
      </c>
    </row>
    <row r="24">
      <c r="A24" t="inlineStr">
        <is>
          <t>Content production costs</t>
        </is>
      </c>
      <c r="B24" s="5" t="n">
        <v>5000</v>
      </c>
      <c r="C24" s="5" t="n">
        <v>15000</v>
      </c>
      <c r="D24" t="inlineStr">
        <is>
          <t>Props, locations</t>
        </is>
      </c>
    </row>
    <row r="25">
      <c r="A25" t="inlineStr"/>
      <c r="D25" t="inlineStr"/>
    </row>
    <row r="26">
      <c r="A26" s="2" t="inlineStr">
        <is>
          <t>OTHER EXPENSES</t>
        </is>
      </c>
      <c r="D26" t="inlineStr"/>
    </row>
    <row r="27">
      <c r="A27" t="inlineStr">
        <is>
          <t>Transport &amp; logistics</t>
        </is>
      </c>
      <c r="B27" s="5" t="n">
        <v>10000</v>
      </c>
      <c r="C27" s="5" t="n">
        <v>25000</v>
      </c>
      <c r="D27" t="inlineStr">
        <is>
          <t>Deliveries, errands</t>
        </is>
      </c>
    </row>
    <row r="28">
      <c r="A28" t="inlineStr">
        <is>
          <t>Maintenance &amp; repairs</t>
        </is>
      </c>
      <c r="B28" s="5" t="n">
        <v>5000</v>
      </c>
      <c r="C28" s="5" t="n">
        <v>15000</v>
      </c>
      <c r="D28" t="inlineStr">
        <is>
          <t>Equipment upkeep</t>
        </is>
      </c>
    </row>
    <row r="29">
      <c r="A29" t="inlineStr">
        <is>
          <t>Insurance</t>
        </is>
      </c>
      <c r="B29" s="5" t="n">
        <v>3000</v>
      </c>
      <c r="C29" s="5" t="n">
        <v>8000</v>
      </c>
      <c r="D29" t="inlineStr">
        <is>
          <t>Equipment &amp; liability</t>
        </is>
      </c>
    </row>
    <row r="30">
      <c r="A30" t="inlineStr">
        <is>
          <t>Professional services</t>
        </is>
      </c>
      <c r="B30" s="5" t="n">
        <v>5000</v>
      </c>
      <c r="C30" s="5" t="n">
        <v>15000</v>
      </c>
      <c r="D30" t="inlineStr">
        <is>
          <t>Legal, accounting</t>
        </is>
      </c>
    </row>
    <row r="31">
      <c r="A31" t="inlineStr">
        <is>
          <t>Miscellaneous</t>
        </is>
      </c>
      <c r="B31" s="5" t="n">
        <v>10000</v>
      </c>
      <c r="C31" s="5" t="n">
        <v>20000</v>
      </c>
      <c r="D31" t="inlineStr">
        <is>
          <t>Unexpected costs</t>
        </is>
      </c>
    </row>
    <row r="32">
      <c r="A32" s="6" t="inlineStr">
        <is>
          <t>TOTAL MONTHLY OPERATING</t>
        </is>
      </c>
      <c r="B32" s="7">
        <f>SUMIF(B4:B31,"&lt;&gt;0")</f>
        <v/>
      </c>
      <c r="C32" s="7">
        <f>SUMIF(C4:C31,"&lt;&gt;0")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MONTHLY REVENUE PROJECTIONS - 2026</t>
        </is>
      </c>
    </row>
    <row r="3">
      <c r="A3" s="8" t="inlineStr">
        <is>
          <t>Revenue Stream</t>
        </is>
      </c>
      <c r="B3" s="8" t="inlineStr">
        <is>
          <t>Q1 (KES)</t>
        </is>
      </c>
      <c r="C3" s="8" t="inlineStr">
        <is>
          <t>Q2 (KES)</t>
        </is>
      </c>
      <c r="D3" s="8" t="inlineStr">
        <is>
          <t>Q3 (KES)</t>
        </is>
      </c>
      <c r="E3" s="8" t="inlineStr">
        <is>
          <t>Q4 (KES)</t>
        </is>
      </c>
    </row>
    <row r="4">
      <c r="A4" s="2" t="inlineStr">
        <is>
          <t>T-SHIRT &amp; APPAREL PRINTING</t>
        </is>
      </c>
    </row>
    <row r="5">
      <c r="A5" t="inlineStr">
        <is>
          <t>Custom t-shirts (units/month)</t>
        </is>
      </c>
      <c r="B5" s="5" t="n">
        <v>40</v>
      </c>
      <c r="C5" s="5" t="n">
        <v>70</v>
      </c>
      <c r="D5" s="5" t="n">
        <v>100</v>
      </c>
      <c r="E5" s="5" t="n">
        <v>150</v>
      </c>
    </row>
    <row r="6">
      <c r="A6" t="inlineStr">
        <is>
          <t>Average price per unit</t>
        </is>
      </c>
      <c r="B6" s="5" t="n">
        <v>1200</v>
      </c>
      <c r="C6" s="5" t="n">
        <v>1200</v>
      </c>
      <c r="D6" s="5" t="n">
        <v>1300</v>
      </c>
      <c r="E6" s="5" t="n">
        <v>1300</v>
      </c>
    </row>
    <row r="7">
      <c r="A7" t="inlineStr">
        <is>
          <t>Monthly revenue</t>
        </is>
      </c>
      <c r="B7" s="9">
        <f>B5*B6</f>
        <v/>
      </c>
      <c r="C7" s="9">
        <f>C5*C6</f>
        <v/>
      </c>
      <c r="D7" s="9">
        <f>D5*D6</f>
        <v/>
      </c>
      <c r="E7" s="9">
        <f>E5*E6</f>
        <v/>
      </c>
    </row>
    <row r="8">
      <c r="A8" t="inlineStr"/>
    </row>
    <row r="9">
      <c r="A9" s="2" t="inlineStr">
        <is>
          <t>3D PRINTING SERVICES</t>
        </is>
      </c>
    </row>
    <row r="10">
      <c r="A10" t="inlineStr">
        <is>
          <t>Projects per month</t>
        </is>
      </c>
      <c r="B10" s="5" t="n">
        <v>15</v>
      </c>
      <c r="C10" s="5" t="n">
        <v>25</v>
      </c>
      <c r="D10" s="5" t="n">
        <v>35</v>
      </c>
      <c r="E10" s="5" t="n">
        <v>50</v>
      </c>
    </row>
    <row r="11">
      <c r="A11" t="inlineStr">
        <is>
          <t>Average project value</t>
        </is>
      </c>
      <c r="B11" s="5" t="n">
        <v>3500</v>
      </c>
      <c r="C11" s="5" t="n">
        <v>4000</v>
      </c>
      <c r="D11" s="5" t="n">
        <v>4500</v>
      </c>
      <c r="E11" s="5" t="n">
        <v>5000</v>
      </c>
    </row>
    <row r="12">
      <c r="A12" t="inlineStr">
        <is>
          <t>Monthly revenue</t>
        </is>
      </c>
      <c r="B12" s="9">
        <f>B10*B11</f>
        <v/>
      </c>
      <c r="C12" s="9">
        <f>C10*C11</f>
        <v/>
      </c>
      <c r="D12" s="9">
        <f>D10*D11</f>
        <v/>
      </c>
      <c r="E12" s="9">
        <f>E10*E11</f>
        <v/>
      </c>
    </row>
    <row r="13">
      <c r="A13" t="inlineStr"/>
    </row>
    <row r="14">
      <c r="A14" s="2" t="inlineStr">
        <is>
          <t>FURNITURE &amp; WOODWORKING</t>
        </is>
      </c>
    </row>
    <row r="15">
      <c r="A15" t="inlineStr">
        <is>
          <t>Projects per month</t>
        </is>
      </c>
      <c r="B15" s="5" t="n">
        <v>0</v>
      </c>
      <c r="C15" s="5" t="n">
        <v>3</v>
      </c>
      <c r="D15" s="5" t="n">
        <v>6</v>
      </c>
      <c r="E15" s="5" t="n">
        <v>8</v>
      </c>
    </row>
    <row r="16">
      <c r="A16" t="inlineStr">
        <is>
          <t>Average project value</t>
        </is>
      </c>
      <c r="B16" s="5" t="n">
        <v>0</v>
      </c>
      <c r="C16" s="5" t="n">
        <v>20000</v>
      </c>
      <c r="D16" s="5" t="n">
        <v>22000</v>
      </c>
      <c r="E16" s="5" t="n">
        <v>25000</v>
      </c>
    </row>
    <row r="17">
      <c r="A17" t="inlineStr">
        <is>
          <t>Monthly revenue</t>
        </is>
      </c>
      <c r="B17" s="9">
        <f>B15*B16</f>
        <v/>
      </c>
      <c r="C17" s="9">
        <f>C15*C16</f>
        <v/>
      </c>
      <c r="D17" s="9">
        <f>D15*D16</f>
        <v/>
      </c>
      <c r="E17" s="9">
        <f>E15*E16</f>
        <v/>
      </c>
    </row>
    <row r="18">
      <c r="A18" t="inlineStr"/>
    </row>
    <row r="19">
      <c r="A19" s="2" t="inlineStr">
        <is>
          <t>DIGITAL MARKETING PACKAGES</t>
        </is>
      </c>
    </row>
    <row r="20">
      <c r="A20" t="inlineStr">
        <is>
          <t>Clients per month</t>
        </is>
      </c>
      <c r="B20" s="5" t="n">
        <v>2</v>
      </c>
      <c r="C20" s="5" t="n">
        <v>3</v>
      </c>
      <c r="D20" s="5" t="n">
        <v>4</v>
      </c>
      <c r="E20" s="5" t="n">
        <v>5</v>
      </c>
    </row>
    <row r="21">
      <c r="A21" t="inlineStr">
        <is>
          <t>Average package value</t>
        </is>
      </c>
      <c r="B21" s="5" t="n">
        <v>40000</v>
      </c>
      <c r="C21" s="5" t="n">
        <v>50000</v>
      </c>
      <c r="D21" s="5" t="n">
        <v>60000</v>
      </c>
      <c r="E21" s="5" t="n">
        <v>70000</v>
      </c>
    </row>
    <row r="22">
      <c r="A22" t="inlineStr">
        <is>
          <t>Monthly revenue</t>
        </is>
      </c>
      <c r="B22" s="9">
        <f>B20*B21</f>
        <v/>
      </c>
      <c r="C22" s="9">
        <f>C20*C21</f>
        <v/>
      </c>
      <c r="D22" s="9">
        <f>D20*D21</f>
        <v/>
      </c>
      <c r="E22" s="9">
        <f>E20*E21</f>
        <v/>
      </c>
    </row>
    <row r="23">
      <c r="A23" t="inlineStr"/>
    </row>
    <row r="24">
      <c r="A24" s="2" t="inlineStr">
        <is>
          <t>SOCIAL MEDIA MANAGEMENT</t>
        </is>
      </c>
    </row>
    <row r="25">
      <c r="A25" t="inlineStr">
        <is>
          <t>Retainer clients</t>
        </is>
      </c>
      <c r="B25" s="5" t="n">
        <v>3</v>
      </c>
      <c r="C25" s="5" t="n">
        <v>6</v>
      </c>
      <c r="D25" s="5" t="n">
        <v>10</v>
      </c>
      <c r="E25" s="5" t="n">
        <v>15</v>
      </c>
    </row>
    <row r="26">
      <c r="A26" t="inlineStr">
        <is>
          <t>Average monthly retainer</t>
        </is>
      </c>
      <c r="B26" s="5" t="n">
        <v>20000</v>
      </c>
      <c r="C26" s="5" t="n">
        <v>22000</v>
      </c>
      <c r="D26" s="5" t="n">
        <v>25000</v>
      </c>
      <c r="E26" s="5" t="n">
        <v>28000</v>
      </c>
    </row>
    <row r="27">
      <c r="A27" t="inlineStr">
        <is>
          <t>Monthly revenue</t>
        </is>
      </c>
      <c r="B27" s="9">
        <f>B25*B26</f>
        <v/>
      </c>
      <c r="C27" s="9">
        <f>C25*C26</f>
        <v/>
      </c>
      <c r="D27" s="9">
        <f>D25*D26</f>
        <v/>
      </c>
      <c r="E27" s="9">
        <f>E25*E26</f>
        <v/>
      </c>
    </row>
    <row r="28">
      <c r="A28" t="inlineStr"/>
    </row>
    <row r="29">
      <c r="A29" s="2" t="inlineStr">
        <is>
          <t>VIDEO PRODUCTION</t>
        </is>
      </c>
    </row>
    <row r="30">
      <c r="A30" t="inlineStr">
        <is>
          <t>Projects per month</t>
        </is>
      </c>
      <c r="B30" s="5" t="n">
        <v>2</v>
      </c>
      <c r="C30" s="5" t="n">
        <v>4</v>
      </c>
      <c r="D30" s="5" t="n">
        <v>5</v>
      </c>
      <c r="E30" s="5" t="n">
        <v>7</v>
      </c>
    </row>
    <row r="31">
      <c r="A31" t="inlineStr">
        <is>
          <t>Average project value</t>
        </is>
      </c>
      <c r="B31" s="5" t="n">
        <v>35000</v>
      </c>
      <c r="C31" s="5" t="n">
        <v>40000</v>
      </c>
      <c r="D31" s="5" t="n">
        <v>45000</v>
      </c>
      <c r="E31" s="5" t="n">
        <v>50000</v>
      </c>
    </row>
    <row r="32">
      <c r="A32" t="inlineStr">
        <is>
          <t>Monthly revenue</t>
        </is>
      </c>
      <c r="B32" s="9">
        <f>B30*B31</f>
        <v/>
      </c>
      <c r="C32" s="9">
        <f>C30*C31</f>
        <v/>
      </c>
      <c r="D32" s="9">
        <f>D30*D31</f>
        <v/>
      </c>
      <c r="E32" s="9">
        <f>E30*E31</f>
        <v/>
      </c>
    </row>
    <row r="33">
      <c r="A33" t="inlineStr"/>
    </row>
    <row r="34">
      <c r="A34" s="2" t="inlineStr">
        <is>
          <t>E-COMMERCE PRODUCTS</t>
        </is>
      </c>
    </row>
    <row r="35">
      <c r="A35" t="inlineStr">
        <is>
          <t>Online sales</t>
        </is>
      </c>
      <c r="B35" s="10" t="n">
        <v>0</v>
      </c>
      <c r="C35" s="10" t="n">
        <v>30000</v>
      </c>
      <c r="D35" s="10" t="n">
        <v>80000</v>
      </c>
      <c r="E35" s="10" t="n">
        <v>150000</v>
      </c>
    </row>
    <row r="36">
      <c r="A36" t="inlineStr"/>
    </row>
    <row r="37">
      <c r="A37" s="2" t="inlineStr">
        <is>
          <t>YOUTUBE &amp; CONTENT</t>
        </is>
      </c>
    </row>
    <row r="38">
      <c r="A38" t="inlineStr">
        <is>
          <t>Ad revenue &amp; sponsorships</t>
        </is>
      </c>
      <c r="B38" s="10" t="n">
        <v>0</v>
      </c>
      <c r="C38" s="10" t="n">
        <v>10000</v>
      </c>
      <c r="D38" s="10" t="n">
        <v>30000</v>
      </c>
      <c r="E38" s="10" t="n">
        <v>60000</v>
      </c>
    </row>
    <row r="39">
      <c r="A39" t="inlineStr"/>
    </row>
    <row r="40">
      <c r="A40" s="2" t="inlineStr">
        <is>
          <t>WORKSHOPS &amp; TRAINING</t>
        </is>
      </c>
    </row>
    <row r="41">
      <c r="A41" t="inlineStr">
        <is>
          <t>Events per month</t>
        </is>
      </c>
      <c r="B41" s="5" t="n">
        <v>0</v>
      </c>
      <c r="C41" s="5" t="n">
        <v>1</v>
      </c>
      <c r="D41" s="5" t="n">
        <v>2</v>
      </c>
      <c r="E41" s="5" t="n">
        <v>2</v>
      </c>
    </row>
    <row r="42">
      <c r="A42" t="inlineStr">
        <is>
          <t>Average event revenue</t>
        </is>
      </c>
      <c r="B42" s="10" t="n">
        <v>0</v>
      </c>
      <c r="C42" s="10" t="n">
        <v>50000</v>
      </c>
      <c r="D42" s="10" t="n">
        <v>60000</v>
      </c>
      <c r="E42" s="10" t="n">
        <v>75000</v>
      </c>
    </row>
    <row r="43">
      <c r="A43" t="inlineStr">
        <is>
          <t>Monthly revenue</t>
        </is>
      </c>
      <c r="B43" s="9">
        <f>B40*B41</f>
        <v/>
      </c>
      <c r="C43" s="9">
        <f>C40*C41</f>
        <v/>
      </c>
      <c r="D43" s="9">
        <f>D40*D41</f>
        <v/>
      </c>
      <c r="E43" s="9">
        <f>E40*E41</f>
        <v/>
      </c>
    </row>
    <row r="45">
      <c r="A45" s="6" t="inlineStr">
        <is>
          <t>TOTAL MONTHLY REVENUE</t>
        </is>
      </c>
      <c r="B45" s="7">
        <f>B7+B12+B17+B22+B27+B32+B34+B36+B42</f>
        <v/>
      </c>
      <c r="C45" s="7">
        <f>C7+C12+C17+C22+C27+C32+C34+C36+C42</f>
        <v/>
      </c>
      <c r="D45" s="7">
        <f>D7+D12+D17+D22+D27+D32+D34+D36+D42</f>
        <v/>
      </c>
      <c r="E45" s="7">
        <f>E7+E12+E17+E22+E27+E32+E34+E36+E42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EQUIPMENT INVESTMENT &amp; ROI CALCULATOR</t>
        </is>
      </c>
    </row>
    <row r="3">
      <c r="A3" s="8" t="inlineStr">
        <is>
          <t>Equipment</t>
        </is>
      </c>
      <c r="B3" s="8" t="inlineStr">
        <is>
          <t>Cost (KES)</t>
        </is>
      </c>
      <c r="C3" s="8" t="inlineStr">
        <is>
          <t>Monthly Revenue</t>
        </is>
      </c>
      <c r="D3" s="8" t="inlineStr">
        <is>
          <t>Monthly Costs</t>
        </is>
      </c>
      <c r="E3" s="8" t="inlineStr">
        <is>
          <t>Monthly Profit</t>
        </is>
      </c>
      <c r="F3" s="8" t="inlineStr">
        <is>
          <t>Payback (Months)</t>
        </is>
      </c>
    </row>
    <row r="4">
      <c r="A4" t="inlineStr">
        <is>
          <t>Heat Press + Vinyl Cutter</t>
        </is>
      </c>
      <c r="B4" s="5" t="n">
        <v>100000</v>
      </c>
      <c r="C4" s="5" t="n">
        <v>120000</v>
      </c>
      <c r="D4" s="5" t="n">
        <v>40000</v>
      </c>
      <c r="E4" s="10">
        <f>C4-D4</f>
        <v/>
      </c>
      <c r="F4" s="11">
        <f>B4/E4</f>
        <v/>
      </c>
    </row>
    <row r="5">
      <c r="A5" t="inlineStr">
        <is>
          <t>Entry 3D Printer</t>
        </is>
      </c>
      <c r="B5" s="5" t="n">
        <v>45000</v>
      </c>
      <c r="C5" s="5" t="n">
        <v>100000</v>
      </c>
      <c r="D5" s="5" t="n">
        <v>25000</v>
      </c>
      <c r="E5" s="10">
        <f>C5-D5</f>
        <v/>
      </c>
      <c r="F5" s="11">
        <f>B5/E5</f>
        <v/>
      </c>
    </row>
    <row r="6">
      <c r="A6" t="inlineStr">
        <is>
          <t>Semi-Pro Video Setup</t>
        </is>
      </c>
      <c r="B6" s="5" t="n">
        <v>150000</v>
      </c>
      <c r="C6" s="5" t="n">
        <v>90000</v>
      </c>
      <c r="D6" s="5" t="n">
        <v>20000</v>
      </c>
      <c r="E6" s="10">
        <f>C6-D6</f>
        <v/>
      </c>
      <c r="F6" s="11">
        <f>B6/E6</f>
        <v/>
      </c>
    </row>
    <row r="7">
      <c r="A7" t="inlineStr">
        <is>
          <t>DTG Printer (Advanced)</t>
        </is>
      </c>
      <c r="B7" s="5" t="n">
        <v>250000</v>
      </c>
      <c r="C7" s="5" t="n">
        <v>200000</v>
      </c>
      <c r="D7" s="5" t="n">
        <v>60000</v>
      </c>
      <c r="E7" s="10">
        <f>C7-D7</f>
        <v/>
      </c>
      <c r="F7" s="11">
        <f>B7/E7</f>
        <v/>
      </c>
    </row>
    <row r="8">
      <c r="A8" t="inlineStr">
        <is>
          <t>Professional Camera</t>
        </is>
      </c>
      <c r="B8" s="5" t="n">
        <v>250000</v>
      </c>
      <c r="C8" s="5" t="n">
        <v>150000</v>
      </c>
      <c r="D8" s="5" t="n">
        <v>30000</v>
      </c>
      <c r="E8" s="10">
        <f>C8-D8</f>
        <v/>
      </c>
      <c r="F8" s="11">
        <f>B8/E8</f>
        <v/>
      </c>
    </row>
    <row r="9">
      <c r="A9" t="inlineStr">
        <is>
          <t>Woodworking Tools</t>
        </is>
      </c>
      <c r="B9" s="5" t="n">
        <v>120000</v>
      </c>
      <c r="C9" s="5" t="n">
        <v>100000</v>
      </c>
      <c r="D9" s="5" t="n">
        <v>35000</v>
      </c>
      <c r="E9" s="10">
        <f>C9-D9</f>
        <v/>
      </c>
      <c r="F9" s="11">
        <f>B9/E9</f>
        <v/>
      </c>
    </row>
    <row r="10">
      <c r="A10" t="inlineStr">
        <is>
          <t>Advanced 3D Printer</t>
        </is>
      </c>
      <c r="B10" s="5" t="n">
        <v>120000</v>
      </c>
      <c r="C10" s="5" t="n">
        <v>150000</v>
      </c>
      <c r="D10" s="5" t="n">
        <v>40000</v>
      </c>
      <c r="E10" s="10">
        <f>C10-D10</f>
        <v/>
      </c>
      <c r="F10" s="11">
        <f>B10/E10</f>
        <v/>
      </c>
    </row>
    <row r="11">
      <c r="A11" t="inlineStr">
        <is>
          <t>Drone</t>
        </is>
      </c>
      <c r="B11" s="5" t="n">
        <v>100000</v>
      </c>
      <c r="C11" s="5" t="n">
        <v>60000</v>
      </c>
      <c r="D11" s="5" t="n">
        <v>10000</v>
      </c>
      <c r="E11" s="10">
        <f>C11-D11</f>
        <v/>
      </c>
      <c r="F11" s="11">
        <f>B11/E11</f>
        <v/>
      </c>
    </row>
    <row r="13">
      <c r="A13" s="12" t="inlineStr">
        <is>
          <t>Notes: Monthly revenue = estimated from full utilization. Payback = months to recover investment.</t>
        </is>
      </c>
    </row>
  </sheetData>
  <mergeCells count="2">
    <mergeCell ref="A13:F1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2026 CASH FLOW PROJECTION</t>
        </is>
      </c>
    </row>
    <row r="2">
      <c r="A2" t="inlineStr">
        <is>
          <t>Startup Investment</t>
        </is>
      </c>
      <c r="B2" s="13" t="n">
        <v>400000</v>
      </c>
    </row>
    <row r="4">
      <c r="A4" t="inlineStr"/>
      <c r="B4" s="8" t="inlineStr">
        <is>
          <t>Jan</t>
        </is>
      </c>
      <c r="C4" s="8" t="inlineStr">
        <is>
          <t>Feb</t>
        </is>
      </c>
      <c r="D4" s="8" t="inlineStr">
        <is>
          <t>Mar</t>
        </is>
      </c>
      <c r="E4" s="8" t="inlineStr">
        <is>
          <t>Apr</t>
        </is>
      </c>
      <c r="F4" s="8" t="inlineStr">
        <is>
          <t>May</t>
        </is>
      </c>
      <c r="G4" s="8" t="inlineStr">
        <is>
          <t>Jun</t>
        </is>
      </c>
      <c r="H4" s="8" t="inlineStr">
        <is>
          <t>Jul</t>
        </is>
      </c>
      <c r="I4" s="8" t="inlineStr">
        <is>
          <t>Aug</t>
        </is>
      </c>
      <c r="J4" s="8" t="inlineStr">
        <is>
          <t>Sep</t>
        </is>
      </c>
      <c r="K4" s="8" t="inlineStr">
        <is>
          <t>Oct</t>
        </is>
      </c>
      <c r="L4" s="8" t="inlineStr">
        <is>
          <t>Nov</t>
        </is>
      </c>
      <c r="M4" s="8" t="inlineStr">
        <is>
          <t>Dec</t>
        </is>
      </c>
    </row>
    <row r="5">
      <c r="A5" s="2" t="inlineStr">
        <is>
          <t>REVENUE</t>
        </is>
      </c>
    </row>
    <row r="6">
      <c r="A6" t="inlineStr">
        <is>
          <t>T-shirt printing</t>
        </is>
      </c>
      <c r="B6" s="5" t="n">
        <v>80000</v>
      </c>
      <c r="C6" s="5" t="n">
        <v>100000</v>
      </c>
      <c r="D6" s="5" t="n">
        <v>120000</v>
      </c>
      <c r="E6" s="5" t="n">
        <v>140000</v>
      </c>
      <c r="F6" s="5" t="n">
        <v>160000</v>
      </c>
      <c r="G6" s="5" t="n">
        <v>180000</v>
      </c>
      <c r="H6" s="5" t="n">
        <v>200000</v>
      </c>
      <c r="I6" s="5" t="n">
        <v>220000</v>
      </c>
      <c r="J6" s="5" t="n">
        <v>240000</v>
      </c>
      <c r="K6" s="5" t="n">
        <v>260000</v>
      </c>
      <c r="L6" s="5" t="n">
        <v>280000</v>
      </c>
      <c r="M6" s="5" t="n">
        <v>300000</v>
      </c>
    </row>
    <row r="7">
      <c r="A7" t="inlineStr">
        <is>
          <t>3D printing</t>
        </is>
      </c>
      <c r="B7" s="5" t="n">
        <v>50000</v>
      </c>
      <c r="C7" s="5" t="n">
        <v>60000</v>
      </c>
      <c r="D7" s="5" t="n">
        <v>80000</v>
      </c>
      <c r="E7" s="5" t="n">
        <v>90000</v>
      </c>
      <c r="F7" s="5" t="n">
        <v>100000</v>
      </c>
      <c r="G7" s="5" t="n">
        <v>120000</v>
      </c>
      <c r="H7" s="5" t="n">
        <v>140000</v>
      </c>
      <c r="I7" s="5" t="n">
        <v>160000</v>
      </c>
      <c r="J7" s="5" t="n">
        <v>180000</v>
      </c>
      <c r="K7" s="5" t="n">
        <v>200000</v>
      </c>
      <c r="L7" s="5" t="n">
        <v>220000</v>
      </c>
      <c r="M7" s="5" t="n">
        <v>250000</v>
      </c>
    </row>
    <row r="8">
      <c r="A8" t="inlineStr">
        <is>
          <t>Digital marketing</t>
        </is>
      </c>
      <c r="B8" s="5" t="n">
        <v>60000</v>
      </c>
      <c r="C8" s="5" t="n">
        <v>80000</v>
      </c>
      <c r="D8" s="5" t="n">
        <v>100000</v>
      </c>
      <c r="E8" s="5" t="n">
        <v>120000</v>
      </c>
      <c r="F8" s="5" t="n">
        <v>140000</v>
      </c>
      <c r="G8" s="5" t="n">
        <v>160000</v>
      </c>
      <c r="H8" s="5" t="n">
        <v>180000</v>
      </c>
      <c r="I8" s="5" t="n">
        <v>200000</v>
      </c>
      <c r="J8" s="5" t="n">
        <v>220000</v>
      </c>
      <c r="K8" s="5" t="n">
        <v>250000</v>
      </c>
      <c r="L8" s="5" t="n">
        <v>280000</v>
      </c>
      <c r="M8" s="5" t="n">
        <v>320000</v>
      </c>
    </row>
    <row r="9">
      <c r="A9" t="inlineStr">
        <is>
          <t>Social media mgmt</t>
        </is>
      </c>
      <c r="B9" s="5" t="n">
        <v>45000</v>
      </c>
      <c r="C9" s="5" t="n">
        <v>60000</v>
      </c>
      <c r="D9" s="5" t="n">
        <v>75000</v>
      </c>
      <c r="E9" s="5" t="n">
        <v>90000</v>
      </c>
      <c r="F9" s="5" t="n">
        <v>110000</v>
      </c>
      <c r="G9" s="5" t="n">
        <v>130000</v>
      </c>
      <c r="H9" s="5" t="n">
        <v>160000</v>
      </c>
      <c r="I9" s="5" t="n">
        <v>190000</v>
      </c>
      <c r="J9" s="5" t="n">
        <v>220000</v>
      </c>
      <c r="K9" s="5" t="n">
        <v>260000</v>
      </c>
      <c r="L9" s="5" t="n">
        <v>300000</v>
      </c>
      <c r="M9" s="5" t="n">
        <v>350000</v>
      </c>
    </row>
    <row r="10">
      <c r="A10" t="inlineStr">
        <is>
          <t>Video production</t>
        </is>
      </c>
      <c r="B10" s="5" t="n">
        <v>50000</v>
      </c>
      <c r="C10" s="5" t="n">
        <v>70000</v>
      </c>
      <c r="D10" s="5" t="n">
        <v>90000</v>
      </c>
      <c r="E10" s="5" t="n">
        <v>110000</v>
      </c>
      <c r="F10" s="5" t="n">
        <v>130000</v>
      </c>
      <c r="G10" s="5" t="n">
        <v>150000</v>
      </c>
      <c r="H10" s="5" t="n">
        <v>170000</v>
      </c>
      <c r="I10" s="5" t="n">
        <v>190000</v>
      </c>
      <c r="J10" s="5" t="n">
        <v>210000</v>
      </c>
      <c r="K10" s="5" t="n">
        <v>240000</v>
      </c>
      <c r="L10" s="5" t="n">
        <v>280000</v>
      </c>
      <c r="M10" s="5" t="n">
        <v>320000</v>
      </c>
    </row>
    <row r="11">
      <c r="A11" t="inlineStr">
        <is>
          <t>Furniture</t>
        </is>
      </c>
      <c r="B11" s="5" t="n">
        <v>0</v>
      </c>
      <c r="C11" s="5" t="n">
        <v>0</v>
      </c>
      <c r="D11" s="5" t="n">
        <v>40000</v>
      </c>
      <c r="E11" s="5" t="n">
        <v>60000</v>
      </c>
      <c r="F11" s="5" t="n">
        <v>80000</v>
      </c>
      <c r="G11" s="5" t="n">
        <v>100000</v>
      </c>
      <c r="H11" s="5" t="n">
        <v>120000</v>
      </c>
      <c r="I11" s="5" t="n">
        <v>140000</v>
      </c>
      <c r="J11" s="5" t="n">
        <v>160000</v>
      </c>
      <c r="K11" s="5" t="n">
        <v>180000</v>
      </c>
      <c r="L11" s="5" t="n">
        <v>200000</v>
      </c>
      <c r="M11" s="5" t="n">
        <v>220000</v>
      </c>
    </row>
    <row r="12">
      <c r="A12" t="inlineStr">
        <is>
          <t>E-commerce</t>
        </is>
      </c>
      <c r="B12" s="5" t="n">
        <v>0</v>
      </c>
      <c r="C12" s="5" t="n">
        <v>0</v>
      </c>
      <c r="D12" s="5" t="n">
        <v>10000</v>
      </c>
      <c r="E12" s="5" t="n">
        <v>20000</v>
      </c>
      <c r="F12" s="5" t="n">
        <v>30000</v>
      </c>
      <c r="G12" s="5" t="n">
        <v>50000</v>
      </c>
      <c r="H12" s="5" t="n">
        <v>70000</v>
      </c>
      <c r="I12" s="5" t="n">
        <v>90000</v>
      </c>
      <c r="J12" s="5" t="n">
        <v>120000</v>
      </c>
      <c r="K12" s="5" t="n">
        <v>150000</v>
      </c>
      <c r="L12" s="5" t="n">
        <v>180000</v>
      </c>
      <c r="M12" s="5" t="n">
        <v>220000</v>
      </c>
    </row>
    <row r="13">
      <c r="A13" t="inlineStr">
        <is>
          <t>YouTube/Content</t>
        </is>
      </c>
      <c r="B13" s="5" t="n">
        <v>0</v>
      </c>
      <c r="C13" s="5" t="n">
        <v>0</v>
      </c>
      <c r="D13" s="5" t="n">
        <v>0</v>
      </c>
      <c r="E13" s="5" t="n">
        <v>5000</v>
      </c>
      <c r="F13" s="5" t="n">
        <v>10000</v>
      </c>
      <c r="G13" s="5" t="n">
        <v>15000</v>
      </c>
      <c r="H13" s="5" t="n">
        <v>25000</v>
      </c>
      <c r="I13" s="5" t="n">
        <v>35000</v>
      </c>
      <c r="J13" s="5" t="n">
        <v>50000</v>
      </c>
      <c r="K13" s="5" t="n">
        <v>65000</v>
      </c>
      <c r="L13" s="5" t="n">
        <v>80000</v>
      </c>
      <c r="M13" s="5" t="n">
        <v>100000</v>
      </c>
    </row>
    <row r="14">
      <c r="A14" t="inlineStr">
        <is>
          <t>Workshops</t>
        </is>
      </c>
      <c r="B14" s="5" t="n">
        <v>0</v>
      </c>
      <c r="C14" s="5" t="n">
        <v>0</v>
      </c>
      <c r="D14" s="5" t="n">
        <v>0</v>
      </c>
      <c r="E14" s="5" t="n">
        <v>40000</v>
      </c>
      <c r="F14" s="5" t="n">
        <v>50000</v>
      </c>
      <c r="G14" s="5" t="n">
        <v>60000</v>
      </c>
      <c r="H14" s="5" t="n">
        <v>70000</v>
      </c>
      <c r="I14" s="5" t="n">
        <v>80000</v>
      </c>
      <c r="J14" s="5" t="n">
        <v>100000</v>
      </c>
      <c r="K14" s="5" t="n">
        <v>120000</v>
      </c>
      <c r="L14" s="5" t="n">
        <v>140000</v>
      </c>
      <c r="M14" s="5" t="n">
        <v>160000</v>
      </c>
    </row>
    <row r="15">
      <c r="A15" s="2" t="inlineStr">
        <is>
          <t>Total Revenue</t>
        </is>
      </c>
      <c r="B15" s="14">
        <f>SUM(B6:B14)</f>
        <v/>
      </c>
      <c r="C15" s="14">
        <f>SUM(C6:C14)</f>
        <v/>
      </c>
      <c r="D15" s="14">
        <f>SUM(D6:D14)</f>
        <v/>
      </c>
      <c r="E15" s="14">
        <f>SUM(E6:E14)</f>
        <v/>
      </c>
      <c r="F15" s="14">
        <f>SUM(F6:F14)</f>
        <v/>
      </c>
      <c r="G15" s="14">
        <f>SUM(G6:G14)</f>
        <v/>
      </c>
      <c r="H15" s="14">
        <f>SUM(H6:H14)</f>
        <v/>
      </c>
      <c r="I15" s="14">
        <f>SUM(I6:I14)</f>
        <v/>
      </c>
      <c r="J15" s="14">
        <f>SUM(J6:J14)</f>
        <v/>
      </c>
      <c r="K15" s="14">
        <f>SUM(K6:K14)</f>
        <v/>
      </c>
      <c r="L15" s="14">
        <f>SUM(L6:L14)</f>
        <v/>
      </c>
      <c r="M15" s="14">
        <f>SUM(M6:M14)</f>
        <v/>
      </c>
    </row>
    <row r="17">
      <c r="A17" s="2" t="inlineStr">
        <is>
          <t>EXPENSES</t>
        </is>
      </c>
    </row>
    <row r="18">
      <c r="A18" t="inlineStr">
        <is>
          <t>Rent &amp; utilities</t>
        </is>
      </c>
      <c r="B18" s="5" t="n">
        <v>20000</v>
      </c>
      <c r="C18" s="5" t="n">
        <v>20000</v>
      </c>
      <c r="D18" s="5" t="n">
        <v>20000</v>
      </c>
      <c r="E18" s="5" t="n">
        <v>30000</v>
      </c>
      <c r="F18" s="5" t="n">
        <v>30000</v>
      </c>
      <c r="G18" s="5" t="n">
        <v>30000</v>
      </c>
      <c r="H18" s="5" t="n">
        <v>40000</v>
      </c>
      <c r="I18" s="5" t="n">
        <v>40000</v>
      </c>
      <c r="J18" s="5" t="n">
        <v>40000</v>
      </c>
      <c r="K18" s="5" t="n">
        <v>45000</v>
      </c>
      <c r="L18" s="5" t="n">
        <v>45000</v>
      </c>
      <c r="M18" s="5" t="n">
        <v>45000</v>
      </c>
    </row>
    <row r="19">
      <c r="A19" t="inlineStr">
        <is>
          <t>Salaries</t>
        </is>
      </c>
      <c r="B19" s="5" t="n">
        <v>25000</v>
      </c>
      <c r="C19" s="5" t="n">
        <v>50000</v>
      </c>
      <c r="D19" s="5" t="n">
        <v>75000</v>
      </c>
      <c r="E19" s="5" t="n">
        <v>100000</v>
      </c>
      <c r="F19" s="5" t="n">
        <v>125000</v>
      </c>
      <c r="G19" s="5" t="n">
        <v>150000</v>
      </c>
      <c r="H19" s="5" t="n">
        <v>175000</v>
      </c>
      <c r="I19" s="5" t="n">
        <v>200000</v>
      </c>
      <c r="J19" s="5" t="n">
        <v>200000</v>
      </c>
      <c r="K19" s="5" t="n">
        <v>215000</v>
      </c>
      <c r="L19" s="5" t="n">
        <v>215000</v>
      </c>
      <c r="M19" s="5" t="n">
        <v>215000</v>
      </c>
    </row>
    <row r="20">
      <c r="A20" t="inlineStr">
        <is>
          <t>Materials &amp; supplies</t>
        </is>
      </c>
      <c r="B20" s="5" t="n">
        <v>30000</v>
      </c>
      <c r="C20" s="5" t="n">
        <v>40000</v>
      </c>
      <c r="D20" s="5" t="n">
        <v>50000</v>
      </c>
      <c r="E20" s="5" t="n">
        <v>60000</v>
      </c>
      <c r="F20" s="5" t="n">
        <v>70000</v>
      </c>
      <c r="G20" s="5" t="n">
        <v>80000</v>
      </c>
      <c r="H20" s="5" t="n">
        <v>90000</v>
      </c>
      <c r="I20" s="5" t="n">
        <v>100000</v>
      </c>
      <c r="J20" s="5" t="n">
        <v>110000</v>
      </c>
      <c r="K20" s="5" t="n">
        <v>120000</v>
      </c>
      <c r="L20" s="5" t="n">
        <v>130000</v>
      </c>
      <c r="M20" s="5" t="n">
        <v>140000</v>
      </c>
    </row>
    <row r="21">
      <c r="A21" t="inlineStr">
        <is>
          <t>Marketing</t>
        </is>
      </c>
      <c r="B21" s="5" t="n">
        <v>20000</v>
      </c>
      <c r="C21" s="5" t="n">
        <v>25000</v>
      </c>
      <c r="D21" s="5" t="n">
        <v>30000</v>
      </c>
      <c r="E21" s="5" t="n">
        <v>35000</v>
      </c>
      <c r="F21" s="5" t="n">
        <v>40000</v>
      </c>
      <c r="G21" s="5" t="n">
        <v>45000</v>
      </c>
      <c r="H21" s="5" t="n">
        <v>50000</v>
      </c>
      <c r="I21" s="5" t="n">
        <v>55000</v>
      </c>
      <c r="J21" s="5" t="n">
        <v>60000</v>
      </c>
      <c r="K21" s="5" t="n">
        <v>65000</v>
      </c>
      <c r="L21" s="5" t="n">
        <v>70000</v>
      </c>
      <c r="M21" s="5" t="n">
        <v>80000</v>
      </c>
    </row>
    <row r="22">
      <c r="A22" t="inlineStr">
        <is>
          <t>Software &amp; tech</t>
        </is>
      </c>
      <c r="B22" s="5" t="n">
        <v>8000</v>
      </c>
      <c r="C22" s="5" t="n">
        <v>8000</v>
      </c>
      <c r="D22" s="5" t="n">
        <v>10000</v>
      </c>
      <c r="E22" s="5" t="n">
        <v>10000</v>
      </c>
      <c r="F22" s="5" t="n">
        <v>12000</v>
      </c>
      <c r="G22" s="5" t="n">
        <v>12000</v>
      </c>
      <c r="H22" s="5" t="n">
        <v>15000</v>
      </c>
      <c r="I22" s="5" t="n">
        <v>15000</v>
      </c>
      <c r="J22" s="5" t="n">
        <v>15000</v>
      </c>
      <c r="K22" s="5" t="n">
        <v>18000</v>
      </c>
      <c r="L22" s="5" t="n">
        <v>18000</v>
      </c>
      <c r="M22" s="5" t="n">
        <v>20000</v>
      </c>
    </row>
    <row r="23">
      <c r="A23" t="inlineStr">
        <is>
          <t>Transport &amp; logistics</t>
        </is>
      </c>
      <c r="B23" s="5" t="n">
        <v>10000</v>
      </c>
      <c r="C23" s="5" t="n">
        <v>12000</v>
      </c>
      <c r="D23" s="5" t="n">
        <v>15000</v>
      </c>
      <c r="E23" s="5" t="n">
        <v>18000</v>
      </c>
      <c r="F23" s="5" t="n">
        <v>20000</v>
      </c>
      <c r="G23" s="5" t="n">
        <v>22000</v>
      </c>
      <c r="H23" s="5" t="n">
        <v>25000</v>
      </c>
      <c r="I23" s="5" t="n">
        <v>28000</v>
      </c>
      <c r="J23" s="5" t="n">
        <v>30000</v>
      </c>
      <c r="K23" s="5" t="n">
        <v>33000</v>
      </c>
      <c r="L23" s="5" t="n">
        <v>36000</v>
      </c>
      <c r="M23" s="5" t="n">
        <v>40000</v>
      </c>
    </row>
    <row r="24">
      <c r="A24" t="inlineStr">
        <is>
          <t>Other expenses</t>
        </is>
      </c>
      <c r="B24" s="5" t="n">
        <v>15000</v>
      </c>
      <c r="C24" s="5" t="n">
        <v>15000</v>
      </c>
      <c r="D24" s="5" t="n">
        <v>20000</v>
      </c>
      <c r="E24" s="5" t="n">
        <v>20000</v>
      </c>
      <c r="F24" s="5" t="n">
        <v>25000</v>
      </c>
      <c r="G24" s="5" t="n">
        <v>25000</v>
      </c>
      <c r="H24" s="5" t="n">
        <v>30000</v>
      </c>
      <c r="I24" s="5" t="n">
        <v>30000</v>
      </c>
      <c r="J24" s="5" t="n">
        <v>35000</v>
      </c>
      <c r="K24" s="5" t="n">
        <v>35000</v>
      </c>
      <c r="L24" s="5" t="n">
        <v>40000</v>
      </c>
      <c r="M24" s="5" t="n">
        <v>45000</v>
      </c>
    </row>
    <row r="25">
      <c r="A25" s="2" t="inlineStr">
        <is>
          <t>Total Expenses</t>
        </is>
      </c>
      <c r="B25" s="14">
        <f>SUM(B18:B24)</f>
        <v/>
      </c>
      <c r="C25" s="14">
        <f>SUM(C18:C24)</f>
        <v/>
      </c>
      <c r="D25" s="14">
        <f>SUM(D18:D24)</f>
        <v/>
      </c>
      <c r="E25" s="14">
        <f>SUM(E18:E24)</f>
        <v/>
      </c>
      <c r="F25" s="14">
        <f>SUM(F18:F24)</f>
        <v/>
      </c>
      <c r="G25" s="14">
        <f>SUM(G18:G24)</f>
        <v/>
      </c>
      <c r="H25" s="14">
        <f>SUM(H18:H24)</f>
        <v/>
      </c>
      <c r="I25" s="14">
        <f>SUM(I18:I24)</f>
        <v/>
      </c>
      <c r="J25" s="14">
        <f>SUM(J18:J24)</f>
        <v/>
      </c>
      <c r="K25" s="14">
        <f>SUM(K18:K24)</f>
        <v/>
      </c>
      <c r="L25" s="14">
        <f>SUM(L18:L24)</f>
        <v/>
      </c>
      <c r="M25" s="14">
        <f>SUM(M18:M24)</f>
        <v/>
      </c>
    </row>
    <row r="27">
      <c r="A27" s="15" t="inlineStr">
        <is>
          <t>NET CASH FLOW</t>
        </is>
      </c>
      <c r="B27" s="7">
        <f>B14-B25</f>
        <v/>
      </c>
      <c r="C27" s="7">
        <f>C14-C25</f>
        <v/>
      </c>
      <c r="D27" s="7">
        <f>D14-D25</f>
        <v/>
      </c>
      <c r="E27" s="7">
        <f>E14-E25</f>
        <v/>
      </c>
      <c r="F27" s="7">
        <f>F14-F25</f>
        <v/>
      </c>
      <c r="G27" s="7">
        <f>G14-G25</f>
        <v/>
      </c>
      <c r="H27" s="7">
        <f>H14-H25</f>
        <v/>
      </c>
      <c r="I27" s="7">
        <f>I14-I25</f>
        <v/>
      </c>
      <c r="J27" s="7">
        <f>J14-J25</f>
        <v/>
      </c>
      <c r="K27" s="7">
        <f>K14-K25</f>
        <v/>
      </c>
      <c r="L27" s="7">
        <f>L14-L25</f>
        <v/>
      </c>
      <c r="M27" s="7">
        <f>M14-M25</f>
        <v/>
      </c>
    </row>
    <row r="28">
      <c r="A28" s="15" t="inlineStr">
        <is>
          <t>Cumulative Cash</t>
        </is>
      </c>
      <c r="B28">
        <f>-$B$2+B27</f>
        <v/>
      </c>
      <c r="C28" s="14">
        <f>B28+C27</f>
        <v/>
      </c>
      <c r="D28" s="14">
        <f>C28+D27</f>
        <v/>
      </c>
      <c r="E28" s="14">
        <f>D28+E27</f>
        <v/>
      </c>
      <c r="F28" s="14">
        <f>E28+F27</f>
        <v/>
      </c>
      <c r="G28" s="14">
        <f>F28+G27</f>
        <v/>
      </c>
      <c r="H28" s="14">
        <f>G28+H27</f>
        <v/>
      </c>
      <c r="I28" s="14">
        <f>H28+I27</f>
        <v/>
      </c>
      <c r="J28" s="14">
        <f>I28+J27</f>
        <v/>
      </c>
      <c r="K28" s="14">
        <f>J28+K27</f>
        <v/>
      </c>
      <c r="L28" s="14">
        <f>K28+L27</f>
        <v/>
      </c>
      <c r="M28" s="14">
        <f>L28+M27</f>
        <v/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2025-12-21T15:35:56Z</dcterms:created>
  <dcterms:modified xmlns:dcterms="http://purl.org/dc/terms/" xmlns:xsi="http://www.w3.org/2001/XMLSchema-instance" xsi:type="dcterms:W3CDTF">2025-12-21T15:35:56Z</dcterms:modified>
</cp:coreProperties>
</file>